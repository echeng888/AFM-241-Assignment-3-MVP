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Run info" sheetId="1" state="visible" r:id="rId1"/>
    <sheet xmlns:r="http://schemas.openxmlformats.org/officeDocument/2006/relationships" name="1 Transactions" sheetId="2" state="visible" r:id="rId2"/>
    <sheet xmlns:r="http://schemas.openxmlformats.org/officeDocument/2006/relationships" name="2 Classification" sheetId="3" state="visible" r:id="rId3"/>
    <sheet xmlns:r="http://schemas.openxmlformats.org/officeDocument/2006/relationships" name="3 Cost base continuity" sheetId="4" state="visible" r:id="rId4"/>
    <sheet xmlns:r="http://schemas.openxmlformats.org/officeDocument/2006/relationships" name="4 Reconciliation" sheetId="5" state="visible" r:id="rId5"/>
    <sheet xmlns:r="http://schemas.openxmlformats.org/officeDocument/2006/relationships" name="5 Exce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6">
    <font>
      <name val="Calibri"/>
      <family val="2"/>
      <color theme="1"/>
      <sz val="11"/>
      <scheme val="minor"/>
    </font>
    <font>
      <name val="Arial"/>
      <b val="1"/>
      <color rgb="001F3B4D"/>
      <sz val="12"/>
    </font>
    <font>
      <name val="Arial"/>
      <b val="1"/>
      <color rgb="00FFFFFF"/>
      <sz val="9"/>
    </font>
    <font>
      <name val="Arial"/>
      <sz val="9"/>
    </font>
    <font>
      <name val="Arial"/>
      <i val="1"/>
      <color rgb="00666666"/>
      <sz val="8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1F3B4D"/>
      </patternFill>
    </fill>
    <fill>
      <patternFill patternType="solid">
        <fgColor rgb="00E8F1EB"/>
      </patternFill>
    </fill>
    <fill>
      <patternFill patternType="solid">
        <fgColor rgb="00F8E4E1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5" fillId="0" borderId="1" pivotButton="0" quotePrefix="0" xfId="0"/>
    <xf numFmtId="0" fontId="3" fillId="0" borderId="1" pivotButton="0" quotePrefix="0" xfId="0"/>
    <xf numFmtId="0" fontId="2" fillId="2" borderId="0" applyAlignment="1" pivotButton="0" quotePrefix="0" xfId="0">
      <alignment vertical="center" wrapText="1"/>
    </xf>
    <xf numFmtId="164" fontId="3" fillId="0" borderId="1" pivotButton="0" quotePrefix="0" xfId="0"/>
    <xf numFmtId="0" fontId="4" fillId="0" borderId="0" pivotButton="0" quotePrefix="0" xfId="0"/>
    <xf numFmtId="2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  <xf numFmtId="164" fontId="5" fillId="0" borderId="1" pivotButton="0" quotePrefix="0" xfId="0"/>
    <xf numFmtId="0" fontId="5" fillId="0" borderId="0" pivotButton="0" quotePrefix="0" xfId="0"/>
    <xf numFmtId="164" fontId="5" fillId="0" borderId="0" pivotButton="0" quotePrefix="0" xfId="0"/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/>
    </xf>
    <xf numFmtId="2" fontId="3" fillId="0" borderId="1" applyAlignment="1" pivotButton="0" quotePrefix="0" xfId="0">
      <alignment vertical="top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66" customWidth="1" min="2" max="2"/>
  </cols>
  <sheetData>
    <row r="1">
      <c r="A1" s="1" t="inlineStr">
        <is>
          <t>Draft working paper - requires preparer and reviewer sign-off</t>
        </is>
      </c>
    </row>
    <row r="3">
      <c r="A3" s="2" t="inlineStr">
        <is>
          <t>Client</t>
        </is>
      </c>
      <c r="B3" s="3" t="inlineStr">
        <is>
          <t>1478223 Ontario Inc.</t>
        </is>
      </c>
    </row>
    <row r="4">
      <c r="A4" s="2" t="inlineStr">
        <is>
          <t>Account</t>
        </is>
      </c>
      <c r="B4" s="3" t="inlineStr">
        <is>
          <t>NG-4471902</t>
        </is>
      </c>
    </row>
    <row r="5">
      <c r="A5" s="2" t="inlineStr">
        <is>
          <t>Fiscal year</t>
        </is>
      </c>
      <c r="B5" s="3" t="inlineStr">
        <is>
          <t>2025</t>
        </is>
      </c>
    </row>
    <row r="6">
      <c r="A6" s="2" t="inlineStr">
        <is>
          <t>Reporting currency</t>
        </is>
      </c>
      <c r="B6" s="3" t="inlineStr">
        <is>
          <t>CAD</t>
        </is>
      </c>
    </row>
    <row r="7">
      <c r="A7" s="2" t="inlineStr">
        <is>
          <t>Generated</t>
        </is>
      </c>
      <c r="B7" s="3" t="inlineStr">
        <is>
          <t>2026-08-01 01:36</t>
        </is>
      </c>
    </row>
    <row r="8">
      <c r="A8" s="2" t="inlineStr">
        <is>
          <t>Pipeline mode</t>
        </is>
      </c>
      <c r="B8" s="3" t="inlineStr">
        <is>
          <t>OFFLINE - deterministic parser and keyword classifier (no API key present)</t>
        </is>
      </c>
    </row>
    <row r="9">
      <c r="A9" s="2" t="inlineStr">
        <is>
          <t>Transactions extracted</t>
        </is>
      </c>
      <c r="B9" s="3" t="n">
        <v>29</v>
      </c>
    </row>
    <row r="10">
      <c r="A10" s="2" t="inlineStr">
        <is>
          <t>Transactions in totals</t>
        </is>
      </c>
      <c r="B10" s="3" t="n">
        <v>19</v>
      </c>
    </row>
    <row r="11">
      <c r="A11" s="2" t="inlineStr">
        <is>
          <t>Transactions on exceptions tab</t>
        </is>
      </c>
      <c r="B11" s="3" t="n">
        <v>10</v>
      </c>
    </row>
    <row r="12">
      <c r="A12" s="2" t="inlineStr">
        <is>
          <t>Confidence floor</t>
        </is>
      </c>
      <c r="B12" s="3" t="n">
        <v>0.8</v>
      </c>
    </row>
    <row r="13">
      <c r="A13" s="2" t="inlineStr">
        <is>
          <t>Data</t>
        </is>
      </c>
      <c r="B13" s="3" t="inlineStr">
        <is>
          <t>SYNTHETIC TEST DATA ONLY - no real client information was used</t>
        </is>
      </c>
    </row>
    <row r="14">
      <c r="A14" s="2" t="inlineStr">
        <is>
          <t>Status</t>
        </is>
      </c>
      <c r="B14" s="3" t="inlineStr">
        <is>
          <t>DRAFT - not a filed return; every figure requires review</t>
        </is>
      </c>
    </row>
    <row r="15">
      <c r="A15" s="2" t="inlineStr">
        <is>
          <t>Prepared by</t>
        </is>
      </c>
      <c r="B15" s="3" t="inlineStr"/>
    </row>
    <row r="16">
      <c r="A16" s="2" t="inlineStr">
        <is>
          <t>Reviewed by</t>
        </is>
      </c>
      <c r="B16" s="3" t="inlineStr"/>
    </row>
  </sheetData>
  <printOptions horizontalCentered="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12" customWidth="1" min="4" max="4"/>
    <col width="30" customWidth="1" min="5" max="5"/>
    <col width="42" customWidth="1" min="6" max="6"/>
    <col width="11" customWidth="1" min="7" max="7"/>
    <col width="14" customWidth="1" min="8" max="8"/>
    <col width="7" customWidth="1" min="9" max="9"/>
  </cols>
  <sheetData>
    <row r="1">
      <c r="A1" s="1" t="inlineStr">
        <is>
          <t>Transactions extracted from statements</t>
        </is>
      </c>
    </row>
    <row r="3">
      <c r="A3" s="4" t="inlineStr">
        <is>
          <t>Txn ID</t>
        </is>
      </c>
      <c r="B3" s="4" t="inlineStr">
        <is>
          <t>Stmt month</t>
        </is>
      </c>
      <c r="C3" s="4" t="inlineStr">
        <is>
          <t>Src page</t>
        </is>
      </c>
      <c r="D3" s="4" t="inlineStr">
        <is>
          <t>Date</t>
        </is>
      </c>
      <c r="E3" s="4" t="inlineStr">
        <is>
          <t>Security</t>
        </is>
      </c>
      <c r="F3" s="4" t="inlineStr">
        <is>
          <t>Description as printed</t>
        </is>
      </c>
      <c r="G3" s="4" t="inlineStr">
        <is>
          <t>Quantity</t>
        </is>
      </c>
      <c r="H3" s="4" t="inlineStr">
        <is>
          <t>Gross amount</t>
        </is>
      </c>
      <c r="I3" s="4" t="inlineStr">
        <is>
          <t>Curr</t>
        </is>
      </c>
    </row>
    <row r="4">
      <c r="A4" s="3" t="inlineStr">
        <is>
          <t>T001</t>
        </is>
      </c>
      <c r="B4" s="3" t="n">
        <v>1</v>
      </c>
      <c r="C4" s="3" t="n">
        <v>1</v>
      </c>
      <c r="D4" s="3" t="inlineStr">
        <is>
          <t>2025-01-06</t>
        </is>
      </c>
      <c r="E4" s="3" t="inlineStr">
        <is>
          <t>Canadian Utility Trust Units</t>
        </is>
      </c>
      <c r="F4" s="3" t="inlineStr">
        <is>
          <t>PURCHASE - CUT.UN</t>
        </is>
      </c>
      <c r="G4" s="3" t="n">
        <v>400</v>
      </c>
      <c r="H4" s="5" t="n">
        <v>-9840</v>
      </c>
      <c r="I4" s="3" t="inlineStr">
        <is>
          <t>CAD</t>
        </is>
      </c>
    </row>
    <row r="5">
      <c r="A5" s="3" t="inlineStr">
        <is>
          <t>T002</t>
        </is>
      </c>
      <c r="B5" s="3" t="n">
        <v>1</v>
      </c>
      <c r="C5" s="3" t="n">
        <v>1</v>
      </c>
      <c r="D5" s="3" t="inlineStr">
        <is>
          <t>2025-01-15</t>
        </is>
      </c>
      <c r="E5" s="3" t="inlineStr">
        <is>
          <t>Meridian Bank Common</t>
        </is>
      </c>
      <c r="F5" s="3" t="inlineStr">
        <is>
          <t>DIVIDEND CR</t>
        </is>
      </c>
      <c r="G5" s="3" t="n"/>
      <c r="H5" s="5" t="n">
        <v>612.5</v>
      </c>
      <c r="I5" s="3" t="inlineStr">
        <is>
          <t>CAD</t>
        </is>
      </c>
    </row>
    <row r="6">
      <c r="A6" s="3" t="inlineStr">
        <is>
          <t>T003</t>
        </is>
      </c>
      <c r="B6" s="3" t="n">
        <v>1</v>
      </c>
      <c r="C6" s="3" t="n">
        <v>1</v>
      </c>
      <c r="D6" s="3" t="inlineStr">
        <is>
          <t>2025-01-31</t>
        </is>
      </c>
      <c r="E6" s="3" t="inlineStr">
        <is>
          <t>Cash Balance</t>
        </is>
      </c>
      <c r="F6" s="3" t="inlineStr">
        <is>
          <t>INTEREST PAID ON CREDIT BAL</t>
        </is>
      </c>
      <c r="G6" s="3" t="n"/>
      <c r="H6" s="5" t="n">
        <v>41.18</v>
      </c>
      <c r="I6" s="3" t="inlineStr">
        <is>
          <t>CAD</t>
        </is>
      </c>
    </row>
    <row r="7">
      <c r="A7" s="3" t="inlineStr">
        <is>
          <t>T004</t>
        </is>
      </c>
      <c r="B7" s="3" t="n">
        <v>2</v>
      </c>
      <c r="C7" s="3" t="n">
        <v>2</v>
      </c>
      <c r="D7" s="3" t="inlineStr">
        <is>
          <t>2025-02-12</t>
        </is>
      </c>
      <c r="E7" s="3" t="inlineStr">
        <is>
          <t>Canadian Utility Trust Units</t>
        </is>
      </c>
      <c r="F7" s="3" t="inlineStr">
        <is>
          <t>RET OF CAP DIST</t>
        </is>
      </c>
      <c r="G7" s="3" t="n"/>
      <c r="H7" s="5" t="n">
        <v>288</v>
      </c>
      <c r="I7" s="3" t="inlineStr">
        <is>
          <t>CAD</t>
        </is>
      </c>
    </row>
    <row r="8">
      <c r="A8" s="3" t="inlineStr">
        <is>
          <t>T005</t>
        </is>
      </c>
      <c r="B8" s="3" t="n">
        <v>2</v>
      </c>
      <c r="C8" s="3" t="n">
        <v>2</v>
      </c>
      <c r="D8" s="3" t="inlineStr">
        <is>
          <t>2025-02-20</t>
        </is>
      </c>
      <c r="E8" s="3" t="inlineStr">
        <is>
          <t>Northbridge Energy Corp</t>
        </is>
      </c>
      <c r="F8" s="3" t="inlineStr">
        <is>
          <t>SELL - PARTIAL</t>
        </is>
      </c>
      <c r="G8" s="3" t="n">
        <v>-300</v>
      </c>
      <c r="H8" s="5" t="n">
        <v>7215</v>
      </c>
      <c r="I8" s="3" t="inlineStr">
        <is>
          <t>CAD</t>
        </is>
      </c>
    </row>
    <row r="9">
      <c r="A9" s="3" t="inlineStr">
        <is>
          <t>T006</t>
        </is>
      </c>
      <c r="B9" s="3" t="n">
        <v>2</v>
      </c>
      <c r="C9" s="3" t="n">
        <v>2</v>
      </c>
      <c r="D9" s="3" t="inlineStr">
        <is>
          <t>2025-02-28</t>
        </is>
      </c>
      <c r="E9" s="3" t="inlineStr">
        <is>
          <t>Cash Balance</t>
        </is>
      </c>
      <c r="F9" s="3" t="inlineStr">
        <is>
          <t>INTEREST PAID ON CREDIT BAL</t>
        </is>
      </c>
      <c r="G9" s="3" t="n"/>
      <c r="H9" s="5" t="n">
        <v>38.9</v>
      </c>
      <c r="I9" s="3" t="inlineStr">
        <is>
          <t>CAD</t>
        </is>
      </c>
    </row>
    <row r="10">
      <c r="A10" s="3" t="inlineStr">
        <is>
          <t>T007</t>
        </is>
      </c>
      <c r="B10" s="3" t="n">
        <v>3</v>
      </c>
      <c r="C10" s="3" t="n">
        <v>3</v>
      </c>
      <c r="D10" s="3" t="inlineStr">
        <is>
          <t>2025-03-10</t>
        </is>
      </c>
      <c r="E10" s="3" t="inlineStr">
        <is>
          <t>Meridian Bank Common</t>
        </is>
      </c>
      <c r="F10" s="3" t="inlineStr">
        <is>
          <t>PURCHASE</t>
        </is>
      </c>
      <c r="G10" s="3" t="n">
        <v>150</v>
      </c>
      <c r="H10" s="5" t="n">
        <v>-8925</v>
      </c>
      <c r="I10" s="3" t="inlineStr">
        <is>
          <t>CAD</t>
        </is>
      </c>
    </row>
    <row r="11">
      <c r="A11" s="3" t="inlineStr">
        <is>
          <t>T008</t>
        </is>
      </c>
      <c r="B11" s="3" t="n">
        <v>3</v>
      </c>
      <c r="C11" s="3" t="n">
        <v>3</v>
      </c>
      <c r="D11" s="3" t="inlineStr">
        <is>
          <t>2025-03-18</t>
        </is>
      </c>
      <c r="E11" s="3" t="inlineStr">
        <is>
          <t>Halcyon Global Income Fund</t>
        </is>
      </c>
      <c r="F11" s="3" t="inlineStr">
        <is>
          <t>DIV REINVEST - 14 SH</t>
        </is>
      </c>
      <c r="G11" s="3" t="n">
        <v>14</v>
      </c>
      <c r="H11" s="5" t="n">
        <v>462</v>
      </c>
      <c r="I11" s="3" t="inlineStr">
        <is>
          <t>CAD</t>
        </is>
      </c>
    </row>
    <row r="12">
      <c r="A12" s="3" t="inlineStr">
        <is>
          <t>T009</t>
        </is>
      </c>
      <c r="B12" s="3" t="n">
        <v>3</v>
      </c>
      <c r="C12" s="3" t="n">
        <v>3</v>
      </c>
      <c r="D12" s="3" t="inlineStr">
        <is>
          <t>2025-03-31</t>
        </is>
      </c>
      <c r="E12" s="3" t="inlineStr">
        <is>
          <t>Cash Balance</t>
        </is>
      </c>
      <c r="F12" s="3" t="inlineStr">
        <is>
          <t>INTEREST PAID ON CREDIT BAL</t>
        </is>
      </c>
      <c r="G12" s="3" t="n"/>
      <c r="H12" s="5" t="n">
        <v>44.02</v>
      </c>
      <c r="I12" s="3" t="inlineStr">
        <is>
          <t>CAD</t>
        </is>
      </c>
    </row>
    <row r="13">
      <c r="A13" s="3" t="inlineStr">
        <is>
          <t>T010</t>
        </is>
      </c>
      <c r="B13" s="3" t="n">
        <v>4</v>
      </c>
      <c r="C13" s="3" t="n">
        <v>4</v>
      </c>
      <c r="D13" s="3" t="inlineStr">
        <is>
          <t>2025-04-09</t>
        </is>
      </c>
      <c r="E13" s="3" t="inlineStr">
        <is>
          <t>Ridgeline Industrial Inc</t>
        </is>
      </c>
      <c r="F13" s="3" t="inlineStr">
        <is>
          <t>SELL</t>
        </is>
      </c>
      <c r="G13" s="3" t="n">
        <v>-200</v>
      </c>
      <c r="H13" s="5" t="n">
        <v>5480</v>
      </c>
      <c r="I13" s="3" t="inlineStr">
        <is>
          <t>CAD</t>
        </is>
      </c>
    </row>
    <row r="14">
      <c r="A14" s="3" t="inlineStr">
        <is>
          <t>T011</t>
        </is>
      </c>
      <c r="B14" s="3" t="n">
        <v>4</v>
      </c>
      <c r="C14" s="3" t="n">
        <v>4</v>
      </c>
      <c r="D14" s="3" t="inlineStr">
        <is>
          <t>2025-04-22</t>
        </is>
      </c>
      <c r="E14" s="3" t="inlineStr">
        <is>
          <t>Meridian Bank Common</t>
        </is>
      </c>
      <c r="F14" s="3" t="inlineStr">
        <is>
          <t>DIVIDEND CR</t>
        </is>
      </c>
      <c r="G14" s="3" t="n"/>
      <c r="H14" s="5" t="n">
        <v>703.75</v>
      </c>
      <c r="I14" s="3" t="inlineStr">
        <is>
          <t>CAD</t>
        </is>
      </c>
    </row>
    <row r="15">
      <c r="A15" s="3" t="inlineStr">
        <is>
          <t>T012</t>
        </is>
      </c>
      <c r="B15" s="3" t="n">
        <v>5</v>
      </c>
      <c r="C15" s="3" t="n">
        <v>5</v>
      </c>
      <c r="D15" s="3" t="inlineStr">
        <is>
          <t>2025-05-14</t>
        </is>
      </c>
      <c r="E15" s="3" t="inlineStr">
        <is>
          <t>Canadian Utility Trust Units</t>
        </is>
      </c>
      <c r="F15" s="3" t="inlineStr">
        <is>
          <t>ROC</t>
        </is>
      </c>
      <c r="G15" s="3" t="n"/>
      <c r="H15" s="5" t="n">
        <v>288</v>
      </c>
      <c r="I15" s="3" t="inlineStr">
        <is>
          <t>CAD</t>
        </is>
      </c>
    </row>
    <row r="16">
      <c r="A16" s="3" t="inlineStr">
        <is>
          <t>T013</t>
        </is>
      </c>
      <c r="B16" s="3" t="n">
        <v>5</v>
      </c>
      <c r="C16" s="3" t="n">
        <v>5</v>
      </c>
      <c r="D16" s="3" t="inlineStr">
        <is>
          <t>2025-05-27</t>
        </is>
      </c>
      <c r="E16" s="3" t="inlineStr">
        <is>
          <t>Atlas Materials Ltd</t>
        </is>
      </c>
      <c r="F16" s="3" t="inlineStr">
        <is>
          <t>PURCHASE</t>
        </is>
      </c>
      <c r="G16" s="3" t="n">
        <v>500</v>
      </c>
      <c r="H16" s="5" t="n">
        <v>-6150</v>
      </c>
      <c r="I16" s="3" t="inlineStr">
        <is>
          <t>CAD</t>
        </is>
      </c>
    </row>
    <row r="17">
      <c r="A17" s="3" t="inlineStr">
        <is>
          <t>T014</t>
        </is>
      </c>
      <c r="B17" s="3" t="n">
        <v>5</v>
      </c>
      <c r="C17" s="3" t="n">
        <v>5</v>
      </c>
      <c r="D17" s="3" t="inlineStr">
        <is>
          <t>2025-05-31</t>
        </is>
      </c>
      <c r="E17" s="3" t="inlineStr">
        <is>
          <t>Cash Balance</t>
        </is>
      </c>
      <c r="F17" s="3" t="inlineStr">
        <is>
          <t>INTEREST PAID ON CREDIT BAL</t>
        </is>
      </c>
      <c r="G17" s="3" t="n"/>
      <c r="H17" s="5" t="n">
        <v>36.44</v>
      </c>
      <c r="I17" s="3" t="inlineStr">
        <is>
          <t>CAD</t>
        </is>
      </c>
    </row>
    <row r="18">
      <c r="A18" s="3" t="inlineStr">
        <is>
          <t>T015</t>
        </is>
      </c>
      <c r="B18" s="3" t="n">
        <v>6</v>
      </c>
      <c r="C18" s="3" t="n">
        <v>6</v>
      </c>
      <c r="D18" s="3" t="inlineStr">
        <is>
          <t>2025-06-11</t>
        </is>
      </c>
      <c r="E18" s="3" t="inlineStr">
        <is>
          <t>Northbridge Energy Corp</t>
        </is>
      </c>
      <c r="F18" s="3" t="inlineStr">
        <is>
          <t>PLAN OF ARRANGEMENT - EXCHANGED FOR CASCADE RESOURCES 0.75:1</t>
        </is>
      </c>
      <c r="G18" s="3" t="n">
        <v>-700</v>
      </c>
      <c r="H18" s="5" t="n">
        <v>0</v>
      </c>
      <c r="I18" s="3" t="inlineStr">
        <is>
          <t>CAD</t>
        </is>
      </c>
    </row>
    <row r="19">
      <c r="A19" s="3" t="inlineStr">
        <is>
          <t>T016</t>
        </is>
      </c>
      <c r="B19" s="3" t="n">
        <v>6</v>
      </c>
      <c r="C19" s="3" t="n">
        <v>6</v>
      </c>
      <c r="D19" s="3" t="inlineStr">
        <is>
          <t>2025-06-11</t>
        </is>
      </c>
      <c r="E19" s="3" t="inlineStr">
        <is>
          <t>Cascade Resources Ltd</t>
        </is>
      </c>
      <c r="F19" s="3" t="inlineStr">
        <is>
          <t>PLAN OF ARRANGEMENT - RECEIVED</t>
        </is>
      </c>
      <c r="G19" s="3" t="n">
        <v>525</v>
      </c>
      <c r="H19" s="5" t="n">
        <v>0</v>
      </c>
      <c r="I19" s="3" t="inlineStr">
        <is>
          <t>CAD</t>
        </is>
      </c>
    </row>
    <row r="20">
      <c r="A20" s="3" t="inlineStr">
        <is>
          <t>T017</t>
        </is>
      </c>
      <c r="B20" s="3" t="n">
        <v>6</v>
      </c>
      <c r="C20" s="3" t="n">
        <v>6</v>
      </c>
      <c r="D20" s="3" t="inlineStr">
        <is>
          <t>2025-06-30</t>
        </is>
      </c>
      <c r="E20" s="3" t="inlineStr">
        <is>
          <t>Cash Balance</t>
        </is>
      </c>
      <c r="F20" s="3" t="inlineStr">
        <is>
          <t>INTEREST PAID ON CREDIT BAL</t>
        </is>
      </c>
      <c r="G20" s="3" t="n"/>
      <c r="H20" s="5" t="n">
        <v>39.71</v>
      </c>
      <c r="I20" s="3" t="inlineStr">
        <is>
          <t>CAD</t>
        </is>
      </c>
    </row>
    <row r="21">
      <c r="A21" s="3" t="inlineStr">
        <is>
          <t>T018</t>
        </is>
      </c>
      <c r="B21" s="3" t="n">
        <v>7</v>
      </c>
      <c r="C21" s="3" t="n">
        <v>7</v>
      </c>
      <c r="D21" s="3" t="inlineStr">
        <is>
          <t>2025-07-08</t>
        </is>
      </c>
      <c r="E21" s="3" t="inlineStr">
        <is>
          <t>Fairview Semiconductor Inc (USD)</t>
        </is>
      </c>
      <c r="F21" s="3" t="inlineStr">
        <is>
          <t>SELL - USD ACCT</t>
        </is>
      </c>
      <c r="G21" s="3" t="n">
        <v>-120</v>
      </c>
      <c r="H21" s="5" t="n">
        <v>9840</v>
      </c>
      <c r="I21" s="3" t="inlineStr">
        <is>
          <t>USD</t>
        </is>
      </c>
    </row>
    <row r="22">
      <c r="A22" s="3" t="inlineStr">
        <is>
          <t>T019</t>
        </is>
      </c>
      <c r="B22" s="3" t="n">
        <v>7</v>
      </c>
      <c r="C22" s="3" t="n">
        <v>7</v>
      </c>
      <c r="D22" s="3" t="inlineStr">
        <is>
          <t>2025-07-23</t>
        </is>
      </c>
      <c r="E22" s="3" t="inlineStr">
        <is>
          <t>Meridian Bank Common</t>
        </is>
      </c>
      <c r="F22" s="3" t="inlineStr">
        <is>
          <t>DIVIDEND CR</t>
        </is>
      </c>
      <c r="G22" s="3" t="n"/>
      <c r="H22" s="5" t="n">
        <v>703.75</v>
      </c>
      <c r="I22" s="3" t="inlineStr">
        <is>
          <t>CAD</t>
        </is>
      </c>
    </row>
    <row r="23">
      <c r="A23" s="3" t="inlineStr">
        <is>
          <t>T020</t>
        </is>
      </c>
      <c r="B23" s="3" t="n">
        <v>8</v>
      </c>
      <c r="C23" s="3" t="n">
        <v>8</v>
      </c>
      <c r="D23" s="3" t="inlineStr">
        <is>
          <t>2025-08-15</t>
        </is>
      </c>
      <c r="E23" s="3" t="inlineStr">
        <is>
          <t>Halcyon Global Income Fund</t>
        </is>
      </c>
      <c r="F23" s="3" t="inlineStr">
        <is>
          <t>CASH DIST - SEE T3</t>
        </is>
      </c>
      <c r="G23" s="3" t="n"/>
      <c r="H23" s="5" t="n">
        <v>1150</v>
      </c>
      <c r="I23" s="3" t="inlineStr">
        <is>
          <t>CAD</t>
        </is>
      </c>
    </row>
    <row r="24">
      <c r="A24" s="3" t="inlineStr">
        <is>
          <t>T021</t>
        </is>
      </c>
      <c r="B24" s="3" t="n">
        <v>8</v>
      </c>
      <c r="C24" s="3" t="n">
        <v>8</v>
      </c>
      <c r="D24" s="3" t="inlineStr">
        <is>
          <t>2025-08-29</t>
        </is>
      </c>
      <c r="E24" s="3" t="inlineStr">
        <is>
          <t>Cash Balance</t>
        </is>
      </c>
      <c r="F24" s="3" t="inlineStr">
        <is>
          <t>INTEREST PAID ON CREDIT BAL</t>
        </is>
      </c>
      <c r="G24" s="3" t="n"/>
      <c r="H24" s="5" t="n">
        <v>42.6</v>
      </c>
      <c r="I24" s="3" t="inlineStr">
        <is>
          <t>CAD</t>
        </is>
      </c>
    </row>
    <row r="25">
      <c r="A25" s="3" t="inlineStr">
        <is>
          <t>T022</t>
        </is>
      </c>
      <c r="B25" s="3" t="n">
        <v>9</v>
      </c>
      <c r="C25" s="3" t="n">
        <v>9</v>
      </c>
      <c r="D25" s="3" t="inlineStr">
        <is>
          <t>2025-09-12</t>
        </is>
      </c>
      <c r="E25" s="3" t="inlineStr">
        <is>
          <t>Atlas Materials Ltd</t>
        </is>
      </c>
      <c r="F25" s="3" t="inlineStr">
        <is>
          <t>PURCHASE</t>
        </is>
      </c>
      <c r="G25" s="3" t="n">
        <v>250</v>
      </c>
      <c r="H25" s="5" t="n">
        <v>-3175</v>
      </c>
      <c r="I25" s="3" t="inlineStr">
        <is>
          <t>CAD</t>
        </is>
      </c>
    </row>
    <row r="26">
      <c r="A26" s="3" t="inlineStr">
        <is>
          <t>T023</t>
        </is>
      </c>
      <c r="B26" s="3" t="n">
        <v>9</v>
      </c>
      <c r="C26" s="3" t="n">
        <v>9</v>
      </c>
      <c r="D26" s="3" t="inlineStr">
        <is>
          <t>2025-09-30</t>
        </is>
      </c>
      <c r="E26" s="3" t="inlineStr">
        <is>
          <t>Cash Balance</t>
        </is>
      </c>
      <c r="F26" s="3" t="inlineStr">
        <is>
          <t>INTEREST PAID ON CREDIT BAL</t>
        </is>
      </c>
      <c r="G26" s="3" t="n"/>
      <c r="H26" s="5" t="n">
        <v>37.85</v>
      </c>
      <c r="I26" s="3" t="inlineStr">
        <is>
          <t>CAD</t>
        </is>
      </c>
    </row>
    <row r="27">
      <c r="A27" s="3" t="inlineStr">
        <is>
          <t>T024</t>
        </is>
      </c>
      <c r="B27" s="3" t="n">
        <v>10</v>
      </c>
      <c r="C27" s="3" t="n">
        <v>10</v>
      </c>
      <c r="D27" s="3" t="inlineStr">
        <is>
          <t>2025-10-17</t>
        </is>
      </c>
      <c r="E27" s="3" t="inlineStr">
        <is>
          <t>Meridian Bank Common</t>
        </is>
      </c>
      <c r="F27" s="3" t="inlineStr">
        <is>
          <t>DIVIDEND CR</t>
        </is>
      </c>
      <c r="G27" s="3" t="n"/>
      <c r="H27" s="5" t="n">
        <v>703.75</v>
      </c>
      <c r="I27" s="3" t="inlineStr">
        <is>
          <t>CAD</t>
        </is>
      </c>
    </row>
    <row r="28">
      <c r="A28" s="3" t="inlineStr">
        <is>
          <t>T025</t>
        </is>
      </c>
      <c r="B28" s="3" t="n">
        <v>10</v>
      </c>
      <c r="C28" s="3" t="n">
        <v>10</v>
      </c>
      <c r="D28" s="3" t="inlineStr">
        <is>
          <t>2025-10-24</t>
        </is>
      </c>
      <c r="E28" s="3" t="inlineStr">
        <is>
          <t>Ridgeline Industrial Inc</t>
        </is>
      </c>
      <c r="F28" s="3" t="inlineStr">
        <is>
          <t>DELIVERY OUT - IN KIND - 150 SH TO SHAREHOLDER ACCT</t>
        </is>
      </c>
      <c r="G28" s="3" t="n">
        <v>-150</v>
      </c>
      <c r="H28" s="5" t="n">
        <v>0</v>
      </c>
      <c r="I28" s="3" t="inlineStr">
        <is>
          <t>CAD</t>
        </is>
      </c>
    </row>
    <row r="29">
      <c r="A29" s="3" t="inlineStr">
        <is>
          <t>T026</t>
        </is>
      </c>
      <c r="B29" s="3" t="n">
        <v>11</v>
      </c>
      <c r="C29" s="3" t="n">
        <v>11</v>
      </c>
      <c r="D29" s="3" t="inlineStr">
        <is>
          <t>2025-11-07</t>
        </is>
      </c>
      <c r="E29" s="3" t="inlineStr">
        <is>
          <t>Cash Balance</t>
        </is>
      </c>
      <c r="F29" s="3" t="inlineStr">
        <is>
          <t>FUNDS TRANSFER OUT SHAREHOLDER</t>
        </is>
      </c>
      <c r="G29" s="3" t="n"/>
      <c r="H29" s="5" t="n">
        <v>-25000</v>
      </c>
      <c r="I29" s="3" t="inlineStr">
        <is>
          <t>CAD</t>
        </is>
      </c>
    </row>
    <row r="30">
      <c r="A30" s="3" t="inlineStr">
        <is>
          <t>T027</t>
        </is>
      </c>
      <c r="B30" s="3" t="n">
        <v>11</v>
      </c>
      <c r="C30" s="3" t="n">
        <v>11</v>
      </c>
      <c r="D30" s="3" t="inlineStr">
        <is>
          <t>2025-11-28</t>
        </is>
      </c>
      <c r="E30" s="3" t="inlineStr">
        <is>
          <t>Canadian Utility Trust Units</t>
        </is>
      </c>
      <c r="F30" s="3" t="inlineStr">
        <is>
          <t>RETURN OF CAPITAL - NON- TAXABLE DIST</t>
        </is>
      </c>
      <c r="G30" s="3" t="n"/>
      <c r="H30" s="5" t="n">
        <v>288</v>
      </c>
      <c r="I30" s="3" t="inlineStr">
        <is>
          <t>CAD</t>
        </is>
      </c>
    </row>
    <row r="31">
      <c r="A31" s="3" t="inlineStr">
        <is>
          <t>T028</t>
        </is>
      </c>
      <c r="B31" s="3" t="n">
        <v>12</v>
      </c>
      <c r="C31" s="3" t="n">
        <v>12</v>
      </c>
      <c r="D31" s="3" t="inlineStr">
        <is>
          <t>2025-12-15</t>
        </is>
      </c>
      <c r="E31" s="3" t="inlineStr">
        <is>
          <t>Meridian Bank Common</t>
        </is>
      </c>
      <c r="F31" s="3" t="inlineStr">
        <is>
          <t>DIVIDEND CR</t>
        </is>
      </c>
      <c r="G31" s="3" t="n"/>
      <c r="H31" s="5" t="n">
        <v>703.75</v>
      </c>
      <c r="I31" s="3" t="inlineStr">
        <is>
          <t>CAD</t>
        </is>
      </c>
    </row>
    <row r="32">
      <c r="A32" s="3" t="inlineStr">
        <is>
          <t>T029</t>
        </is>
      </c>
      <c r="B32" s="3" t="n">
        <v>12</v>
      </c>
      <c r="C32" s="3" t="n">
        <v>12</v>
      </c>
      <c r="D32" s="3" t="inlineStr">
        <is>
          <t>2025-12-31</t>
        </is>
      </c>
      <c r="E32" s="3" t="inlineStr">
        <is>
          <t>Cash Balance</t>
        </is>
      </c>
      <c r="F32" s="3" t="inlineStr">
        <is>
          <t>INTEREST PAID ON CREDIT BAL</t>
        </is>
      </c>
      <c r="G32" s="3" t="n"/>
      <c r="H32" s="5" t="n">
        <v>40.05</v>
      </c>
      <c r="I32" s="3" t="inlineStr">
        <is>
          <t>CAD</t>
        </is>
      </c>
    </row>
  </sheetData>
  <printOptions horizontalCentered="1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20" customWidth="1" min="3" max="3"/>
    <col width="12" customWidth="1" min="4" max="4"/>
    <col width="46" customWidth="1" min="5" max="5"/>
    <col width="11" customWidth="1" min="6" max="6"/>
  </cols>
  <sheetData>
    <row r="1">
      <c r="A1" s="1" t="inlineStr">
        <is>
          <t>Tax treatment per transaction</t>
        </is>
      </c>
    </row>
    <row r="2">
      <c r="A2" s="6" t="inlineStr">
        <is>
          <t>txn_type, confidence and reason are the model's output. No number on this tab was produced by the model.</t>
        </is>
      </c>
    </row>
    <row r="4">
      <c r="A4" s="4" t="inlineStr">
        <is>
          <t>Txn ID</t>
        </is>
      </c>
      <c r="B4" s="4" t="inlineStr">
        <is>
          <t>Description as printed</t>
        </is>
      </c>
      <c r="C4" s="4" t="inlineStr">
        <is>
          <t>Tax treatment</t>
        </is>
      </c>
      <c r="D4" s="4" t="inlineStr">
        <is>
          <t>Confidence</t>
        </is>
      </c>
      <c r="E4" s="4" t="inlineStr">
        <is>
          <t>Reason</t>
        </is>
      </c>
      <c r="F4" s="4" t="inlineStr">
        <is>
          <t>In totals?</t>
        </is>
      </c>
    </row>
    <row r="5">
      <c r="A5" s="3" t="inlineStr">
        <is>
          <t>T001</t>
        </is>
      </c>
      <c r="B5" s="3" t="inlineStr">
        <is>
          <t>PURCHASE - CUT.UN</t>
        </is>
      </c>
      <c r="C5" s="3" t="inlineStr">
        <is>
          <t>buy</t>
        </is>
      </c>
      <c r="D5" s="7" t="n">
        <v>0.97</v>
      </c>
      <c r="E5" s="3" t="inlineStr">
        <is>
          <t>Description matched the buy pattern</t>
        </is>
      </c>
      <c r="F5" s="8" t="inlineStr">
        <is>
          <t>yes</t>
        </is>
      </c>
    </row>
    <row r="6">
      <c r="A6" s="3" t="inlineStr">
        <is>
          <t>T002</t>
        </is>
      </c>
      <c r="B6" s="3" t="inlineStr">
        <is>
          <t>DIVIDEND CR</t>
        </is>
      </c>
      <c r="C6" s="3" t="inlineStr">
        <is>
          <t>dividend</t>
        </is>
      </c>
      <c r="D6" s="7" t="n">
        <v>0.9</v>
      </c>
      <c r="E6" s="3" t="inlineStr">
        <is>
          <t>Description matched the dividend pattern</t>
        </is>
      </c>
      <c r="F6" s="8" t="inlineStr">
        <is>
          <t>yes</t>
        </is>
      </c>
    </row>
    <row r="7">
      <c r="A7" s="3" t="inlineStr">
        <is>
          <t>T003</t>
        </is>
      </c>
      <c r="B7" s="3" t="inlineStr">
        <is>
          <t>INTEREST PAID ON CREDIT BAL</t>
        </is>
      </c>
      <c r="C7" s="3" t="inlineStr">
        <is>
          <t>interest</t>
        </is>
      </c>
      <c r="D7" s="7" t="n">
        <v>0.97</v>
      </c>
      <c r="E7" s="3" t="inlineStr">
        <is>
          <t>Description matched the interest pattern</t>
        </is>
      </c>
      <c r="F7" s="8" t="inlineStr">
        <is>
          <t>yes</t>
        </is>
      </c>
    </row>
    <row r="8">
      <c r="A8" s="3" t="inlineStr">
        <is>
          <t>T004</t>
        </is>
      </c>
      <c r="B8" s="3" t="inlineStr">
        <is>
          <t>RET OF CAP DIST</t>
        </is>
      </c>
      <c r="C8" s="3" t="inlineStr">
        <is>
          <t>return_of_capital</t>
        </is>
      </c>
      <c r="D8" s="7" t="n">
        <v>0.95</v>
      </c>
      <c r="E8" s="3" t="inlineStr">
        <is>
          <t>Description matched the return of capital pattern</t>
        </is>
      </c>
      <c r="F8" s="9" t="inlineStr">
        <is>
          <t>NO - flagged</t>
        </is>
      </c>
    </row>
    <row r="9">
      <c r="A9" s="3" t="inlineStr">
        <is>
          <t>T005</t>
        </is>
      </c>
      <c r="B9" s="3" t="inlineStr">
        <is>
          <t>SELL - PARTIAL</t>
        </is>
      </c>
      <c r="C9" s="3" t="inlineStr">
        <is>
          <t>sell</t>
        </is>
      </c>
      <c r="D9" s="7" t="n">
        <v>0.96</v>
      </c>
      <c r="E9" s="3" t="inlineStr">
        <is>
          <t>Description matched the sell pattern</t>
        </is>
      </c>
      <c r="F9" s="8" t="inlineStr">
        <is>
          <t>yes</t>
        </is>
      </c>
    </row>
    <row r="10">
      <c r="A10" s="3" t="inlineStr">
        <is>
          <t>T006</t>
        </is>
      </c>
      <c r="B10" s="3" t="inlineStr">
        <is>
          <t>INTEREST PAID ON CREDIT BAL</t>
        </is>
      </c>
      <c r="C10" s="3" t="inlineStr">
        <is>
          <t>interest</t>
        </is>
      </c>
      <c r="D10" s="7" t="n">
        <v>0.97</v>
      </c>
      <c r="E10" s="3" t="inlineStr">
        <is>
          <t>Description matched the interest pattern</t>
        </is>
      </c>
      <c r="F10" s="8" t="inlineStr">
        <is>
          <t>yes</t>
        </is>
      </c>
    </row>
    <row r="11">
      <c r="A11" s="3" t="inlineStr">
        <is>
          <t>T007</t>
        </is>
      </c>
      <c r="B11" s="3" t="inlineStr">
        <is>
          <t>PURCHASE</t>
        </is>
      </c>
      <c r="C11" s="3" t="inlineStr">
        <is>
          <t>buy</t>
        </is>
      </c>
      <c r="D11" s="7" t="n">
        <v>0.97</v>
      </c>
      <c r="E11" s="3" t="inlineStr">
        <is>
          <t>Description matched the buy pattern</t>
        </is>
      </c>
      <c r="F11" s="8" t="inlineStr">
        <is>
          <t>yes</t>
        </is>
      </c>
    </row>
    <row r="12">
      <c r="A12" s="3" t="inlineStr">
        <is>
          <t>T008</t>
        </is>
      </c>
      <c r="B12" s="3" t="inlineStr">
        <is>
          <t>DIV REINVEST - 14 SH</t>
        </is>
      </c>
      <c r="C12" s="3" t="inlineStr">
        <is>
          <t>dividend</t>
        </is>
      </c>
      <c r="D12" s="7" t="n">
        <v>0.9</v>
      </c>
      <c r="E12" s="3" t="inlineStr">
        <is>
          <t>Description matched the dividend pattern</t>
        </is>
      </c>
      <c r="F12" s="9" t="inlineStr">
        <is>
          <t>NO - flagged</t>
        </is>
      </c>
    </row>
    <row r="13">
      <c r="A13" s="3" t="inlineStr">
        <is>
          <t>T009</t>
        </is>
      </c>
      <c r="B13" s="3" t="inlineStr">
        <is>
          <t>INTEREST PAID ON CREDIT BAL</t>
        </is>
      </c>
      <c r="C13" s="3" t="inlineStr">
        <is>
          <t>interest</t>
        </is>
      </c>
      <c r="D13" s="7" t="n">
        <v>0.97</v>
      </c>
      <c r="E13" s="3" t="inlineStr">
        <is>
          <t>Description matched the interest pattern</t>
        </is>
      </c>
      <c r="F13" s="8" t="inlineStr">
        <is>
          <t>yes</t>
        </is>
      </c>
    </row>
    <row r="14">
      <c r="A14" s="3" t="inlineStr">
        <is>
          <t>T010</t>
        </is>
      </c>
      <c r="B14" s="3" t="inlineStr">
        <is>
          <t>SELL</t>
        </is>
      </c>
      <c r="C14" s="3" t="inlineStr">
        <is>
          <t>sell</t>
        </is>
      </c>
      <c r="D14" s="7" t="n">
        <v>0.96</v>
      </c>
      <c r="E14" s="3" t="inlineStr">
        <is>
          <t>Description matched the sell pattern</t>
        </is>
      </c>
      <c r="F14" s="8" t="inlineStr">
        <is>
          <t>yes</t>
        </is>
      </c>
    </row>
    <row r="15">
      <c r="A15" s="3" t="inlineStr">
        <is>
          <t>T011</t>
        </is>
      </c>
      <c r="B15" s="3" t="inlineStr">
        <is>
          <t>DIVIDEND CR</t>
        </is>
      </c>
      <c r="C15" s="3" t="inlineStr">
        <is>
          <t>dividend</t>
        </is>
      </c>
      <c r="D15" s="7" t="n">
        <v>0.9</v>
      </c>
      <c r="E15" s="3" t="inlineStr">
        <is>
          <t>Description matched the dividend pattern</t>
        </is>
      </c>
      <c r="F15" s="8" t="inlineStr">
        <is>
          <t>yes</t>
        </is>
      </c>
    </row>
    <row r="16">
      <c r="A16" s="3" t="inlineStr">
        <is>
          <t>T012</t>
        </is>
      </c>
      <c r="B16" s="3" t="inlineStr">
        <is>
          <t>ROC</t>
        </is>
      </c>
      <c r="C16" s="3" t="inlineStr">
        <is>
          <t>return_of_capital</t>
        </is>
      </c>
      <c r="D16" s="7" t="n">
        <v>0.95</v>
      </c>
      <c r="E16" s="3" t="inlineStr">
        <is>
          <t>Description matched the return of capital pattern</t>
        </is>
      </c>
      <c r="F16" s="9" t="inlineStr">
        <is>
          <t>NO - flagged</t>
        </is>
      </c>
    </row>
    <row r="17">
      <c r="A17" s="3" t="inlineStr">
        <is>
          <t>T013</t>
        </is>
      </c>
      <c r="B17" s="3" t="inlineStr">
        <is>
          <t>PURCHASE</t>
        </is>
      </c>
      <c r="C17" s="3" t="inlineStr">
        <is>
          <t>buy</t>
        </is>
      </c>
      <c r="D17" s="7" t="n">
        <v>0.97</v>
      </c>
      <c r="E17" s="3" t="inlineStr">
        <is>
          <t>Description matched the buy pattern</t>
        </is>
      </c>
      <c r="F17" s="8" t="inlineStr">
        <is>
          <t>yes</t>
        </is>
      </c>
    </row>
    <row r="18">
      <c r="A18" s="3" t="inlineStr">
        <is>
          <t>T014</t>
        </is>
      </c>
      <c r="B18" s="3" t="inlineStr">
        <is>
          <t>INTEREST PAID ON CREDIT BAL</t>
        </is>
      </c>
      <c r="C18" s="3" t="inlineStr">
        <is>
          <t>interest</t>
        </is>
      </c>
      <c r="D18" s="7" t="n">
        <v>0.97</v>
      </c>
      <c r="E18" s="3" t="inlineStr">
        <is>
          <t>Description matched the interest pattern</t>
        </is>
      </c>
      <c r="F18" s="8" t="inlineStr">
        <is>
          <t>yes</t>
        </is>
      </c>
    </row>
    <row r="19">
      <c r="A19" s="3" t="inlineStr">
        <is>
          <t>T015</t>
        </is>
      </c>
      <c r="B19" s="3" t="inlineStr">
        <is>
          <t>PLAN OF ARRANGEMENT - EXCHANGED FOR CASCADE RESOURCES 0.75:1</t>
        </is>
      </c>
      <c r="C19" s="3" t="inlineStr">
        <is>
          <t>transfer</t>
        </is>
      </c>
      <c r="D19" s="7" t="n">
        <v>0.6</v>
      </c>
      <c r="E19" s="3" t="inlineStr">
        <is>
          <t>Description matched the transfer pattern</t>
        </is>
      </c>
      <c r="F19" s="9" t="inlineStr">
        <is>
          <t>NO - flagged</t>
        </is>
      </c>
    </row>
    <row r="20">
      <c r="A20" s="3" t="inlineStr">
        <is>
          <t>T016</t>
        </is>
      </c>
      <c r="B20" s="3" t="inlineStr">
        <is>
          <t>PLAN OF ARRANGEMENT - RECEIVED</t>
        </is>
      </c>
      <c r="C20" s="3" t="inlineStr">
        <is>
          <t>transfer</t>
        </is>
      </c>
      <c r="D20" s="7" t="n">
        <v>0.6</v>
      </c>
      <c r="E20" s="3" t="inlineStr">
        <is>
          <t>Description matched the transfer pattern</t>
        </is>
      </c>
      <c r="F20" s="9" t="inlineStr">
        <is>
          <t>NO - flagged</t>
        </is>
      </c>
    </row>
    <row r="21">
      <c r="A21" s="3" t="inlineStr">
        <is>
          <t>T017</t>
        </is>
      </c>
      <c r="B21" s="3" t="inlineStr">
        <is>
          <t>INTEREST PAID ON CREDIT BAL</t>
        </is>
      </c>
      <c r="C21" s="3" t="inlineStr">
        <is>
          <t>interest</t>
        </is>
      </c>
      <c r="D21" s="7" t="n">
        <v>0.97</v>
      </c>
      <c r="E21" s="3" t="inlineStr">
        <is>
          <t>Description matched the interest pattern</t>
        </is>
      </c>
      <c r="F21" s="8" t="inlineStr">
        <is>
          <t>yes</t>
        </is>
      </c>
    </row>
    <row r="22">
      <c r="A22" s="3" t="inlineStr">
        <is>
          <t>T018</t>
        </is>
      </c>
      <c r="B22" s="3" t="inlineStr">
        <is>
          <t>SELL - USD ACCT</t>
        </is>
      </c>
      <c r="C22" s="3" t="inlineStr">
        <is>
          <t>sell</t>
        </is>
      </c>
      <c r="D22" s="7" t="n">
        <v>0.96</v>
      </c>
      <c r="E22" s="3" t="inlineStr">
        <is>
          <t>Description matched the sell pattern</t>
        </is>
      </c>
      <c r="F22" s="9" t="inlineStr">
        <is>
          <t>NO - flagged</t>
        </is>
      </c>
    </row>
    <row r="23">
      <c r="A23" s="3" t="inlineStr">
        <is>
          <t>T019</t>
        </is>
      </c>
      <c r="B23" s="3" t="inlineStr">
        <is>
          <t>DIVIDEND CR</t>
        </is>
      </c>
      <c r="C23" s="3" t="inlineStr">
        <is>
          <t>dividend</t>
        </is>
      </c>
      <c r="D23" s="7" t="n">
        <v>0.9</v>
      </c>
      <c r="E23" s="3" t="inlineStr">
        <is>
          <t>Description matched the dividend pattern</t>
        </is>
      </c>
      <c r="F23" s="8" t="inlineStr">
        <is>
          <t>yes</t>
        </is>
      </c>
    </row>
    <row r="24">
      <c r="A24" s="3" t="inlineStr">
        <is>
          <t>T020</t>
        </is>
      </c>
      <c r="B24" s="3" t="inlineStr">
        <is>
          <t>CASH DIST - SEE T3</t>
        </is>
      </c>
      <c r="C24" s="3" t="inlineStr">
        <is>
          <t>dividend</t>
        </is>
      </c>
      <c r="D24" s="7" t="n">
        <v>0.45</v>
      </c>
      <c r="E24" s="3" t="inlineStr">
        <is>
          <t>Statement defers the character of this amount to the slip</t>
        </is>
      </c>
      <c r="F24" s="9" t="inlineStr">
        <is>
          <t>NO - flagged</t>
        </is>
      </c>
    </row>
    <row r="25">
      <c r="A25" s="3" t="inlineStr">
        <is>
          <t>T021</t>
        </is>
      </c>
      <c r="B25" s="3" t="inlineStr">
        <is>
          <t>INTEREST PAID ON CREDIT BAL</t>
        </is>
      </c>
      <c r="C25" s="3" t="inlineStr">
        <is>
          <t>interest</t>
        </is>
      </c>
      <c r="D25" s="7" t="n">
        <v>0.97</v>
      </c>
      <c r="E25" s="3" t="inlineStr">
        <is>
          <t>Description matched the interest pattern</t>
        </is>
      </c>
      <c r="F25" s="8" t="inlineStr">
        <is>
          <t>yes</t>
        </is>
      </c>
    </row>
    <row r="26">
      <c r="A26" s="3" t="inlineStr">
        <is>
          <t>T022</t>
        </is>
      </c>
      <c r="B26" s="3" t="inlineStr">
        <is>
          <t>PURCHASE</t>
        </is>
      </c>
      <c r="C26" s="3" t="inlineStr">
        <is>
          <t>buy</t>
        </is>
      </c>
      <c r="D26" s="7" t="n">
        <v>0.97</v>
      </c>
      <c r="E26" s="3" t="inlineStr">
        <is>
          <t>Description matched the buy pattern</t>
        </is>
      </c>
      <c r="F26" s="8" t="inlineStr">
        <is>
          <t>yes</t>
        </is>
      </c>
    </row>
    <row r="27">
      <c r="A27" s="3" t="inlineStr">
        <is>
          <t>T023</t>
        </is>
      </c>
      <c r="B27" s="3" t="inlineStr">
        <is>
          <t>INTEREST PAID ON CREDIT BAL</t>
        </is>
      </c>
      <c r="C27" s="3" t="inlineStr">
        <is>
          <t>interest</t>
        </is>
      </c>
      <c r="D27" s="7" t="n">
        <v>0.97</v>
      </c>
      <c r="E27" s="3" t="inlineStr">
        <is>
          <t>Description matched the interest pattern</t>
        </is>
      </c>
      <c r="F27" s="8" t="inlineStr">
        <is>
          <t>yes</t>
        </is>
      </c>
    </row>
    <row r="28">
      <c r="A28" s="3" t="inlineStr">
        <is>
          <t>T024</t>
        </is>
      </c>
      <c r="B28" s="3" t="inlineStr">
        <is>
          <t>DIVIDEND CR</t>
        </is>
      </c>
      <c r="C28" s="3" t="inlineStr">
        <is>
          <t>dividend</t>
        </is>
      </c>
      <c r="D28" s="7" t="n">
        <v>0.9</v>
      </c>
      <c r="E28" s="3" t="inlineStr">
        <is>
          <t>Description matched the dividend pattern</t>
        </is>
      </c>
      <c r="F28" s="8" t="inlineStr">
        <is>
          <t>yes</t>
        </is>
      </c>
    </row>
    <row r="29">
      <c r="A29" s="3" t="inlineStr">
        <is>
          <t>T025</t>
        </is>
      </c>
      <c r="B29" s="3" t="inlineStr">
        <is>
          <t>DELIVERY OUT - IN KIND - 150 SH TO SHAREHOLDER ACCT</t>
        </is>
      </c>
      <c r="C29" s="3" t="inlineStr">
        <is>
          <t>withdrawal</t>
        </is>
      </c>
      <c r="D29" s="7" t="n">
        <v>0.7</v>
      </c>
      <c r="E29" s="3" t="inlineStr">
        <is>
          <t>Description matched the withdrawal pattern</t>
        </is>
      </c>
      <c r="F29" s="9" t="inlineStr">
        <is>
          <t>NO - flagged</t>
        </is>
      </c>
    </row>
    <row r="30">
      <c r="A30" s="3" t="inlineStr">
        <is>
          <t>T026</t>
        </is>
      </c>
      <c r="B30" s="3" t="inlineStr">
        <is>
          <t>FUNDS TRANSFER OUT SHAREHOLDER</t>
        </is>
      </c>
      <c r="C30" s="3" t="inlineStr">
        <is>
          <t>withdrawal</t>
        </is>
      </c>
      <c r="D30" s="7" t="n">
        <v>0.7</v>
      </c>
      <c r="E30" s="3" t="inlineStr">
        <is>
          <t>Description matched the withdrawal pattern</t>
        </is>
      </c>
      <c r="F30" s="9" t="inlineStr">
        <is>
          <t>NO - flagged</t>
        </is>
      </c>
    </row>
    <row r="31">
      <c r="A31" s="3" t="inlineStr">
        <is>
          <t>T027</t>
        </is>
      </c>
      <c r="B31" s="3" t="inlineStr">
        <is>
          <t>RETURN OF CAPITAL - NON- TAXABLE DIST</t>
        </is>
      </c>
      <c r="C31" s="3" t="inlineStr">
        <is>
          <t>return_of_capital</t>
        </is>
      </c>
      <c r="D31" s="7" t="n">
        <v>0.95</v>
      </c>
      <c r="E31" s="3" t="inlineStr">
        <is>
          <t>Description matched the return of capital pattern</t>
        </is>
      </c>
      <c r="F31" s="9" t="inlineStr">
        <is>
          <t>NO - flagged</t>
        </is>
      </c>
    </row>
    <row r="32">
      <c r="A32" s="3" t="inlineStr">
        <is>
          <t>T028</t>
        </is>
      </c>
      <c r="B32" s="3" t="inlineStr">
        <is>
          <t>DIVIDEND CR</t>
        </is>
      </c>
      <c r="C32" s="3" t="inlineStr">
        <is>
          <t>dividend</t>
        </is>
      </c>
      <c r="D32" s="7" t="n">
        <v>0.9</v>
      </c>
      <c r="E32" s="3" t="inlineStr">
        <is>
          <t>Description matched the dividend pattern</t>
        </is>
      </c>
      <c r="F32" s="8" t="inlineStr">
        <is>
          <t>yes</t>
        </is>
      </c>
    </row>
    <row r="33">
      <c r="A33" s="3" t="inlineStr">
        <is>
          <t>T029</t>
        </is>
      </c>
      <c r="B33" s="3" t="inlineStr">
        <is>
          <t>INTEREST PAID ON CREDIT BAL</t>
        </is>
      </c>
      <c r="C33" s="3" t="inlineStr">
        <is>
          <t>interest</t>
        </is>
      </c>
      <c r="D33" s="7" t="n">
        <v>0.97</v>
      </c>
      <c r="E33" s="3" t="inlineStr">
        <is>
          <t>Description matched the interest pattern</t>
        </is>
      </c>
      <c r="F33" s="8" t="inlineStr">
        <is>
          <t>yes</t>
        </is>
      </c>
    </row>
  </sheetData>
  <printOptions horizontalCentered="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7" customWidth="1" min="2" max="2"/>
    <col width="17" customWidth="1" min="3" max="3"/>
    <col width="14" customWidth="1" min="4" max="4"/>
    <col width="16" customWidth="1" min="5" max="5"/>
    <col width="17" customWidth="1" min="6" max="6"/>
    <col width="17" customWidth="1" min="7" max="7"/>
    <col width="15" customWidth="1" min="8" max="8"/>
  </cols>
  <sheetData>
    <row r="1">
      <c r="A1" s="1" t="inlineStr">
        <is>
          <t>Cost-base continuity schedule</t>
        </is>
      </c>
    </row>
    <row r="2">
      <c r="A2" s="6" t="inlineStr">
        <is>
          <t>Opening + activity = closing. Flagged transactions are excluded from activity until resolved.</t>
        </is>
      </c>
    </row>
    <row r="4">
      <c r="A4" s="4" t="inlineStr">
        <is>
          <t>Security</t>
        </is>
      </c>
      <c r="B4" s="4" t="inlineStr">
        <is>
          <t>Curr</t>
        </is>
      </c>
      <c r="C4" s="4" t="inlineStr">
        <is>
          <t>Opening cost base</t>
        </is>
      </c>
      <c r="D4" s="4" t="inlineStr">
        <is>
          <t>Purchases</t>
        </is>
      </c>
      <c r="E4" s="4" t="inlineStr">
        <is>
          <t>Disposals (cost)</t>
        </is>
      </c>
      <c r="F4" s="4" t="inlineStr">
        <is>
          <t>Return of capital</t>
        </is>
      </c>
      <c r="G4" s="4" t="inlineStr">
        <is>
          <t>Closing cost base</t>
        </is>
      </c>
      <c r="H4" s="4" t="inlineStr">
        <is>
          <t>Unresolved items</t>
        </is>
      </c>
    </row>
    <row r="5">
      <c r="A5" s="3" t="inlineStr">
        <is>
          <t>Atlas Materials Ltd</t>
        </is>
      </c>
      <c r="B5" s="3" t="inlineStr">
        <is>
          <t>CAD</t>
        </is>
      </c>
      <c r="C5" s="5" t="n">
        <v>0</v>
      </c>
      <c r="D5" s="5" t="n">
        <v>9325</v>
      </c>
      <c r="E5" s="5" t="n">
        <v>0</v>
      </c>
      <c r="F5" s="5" t="n">
        <v>0</v>
      </c>
      <c r="G5" s="10">
        <f>SUM(C5:F5)</f>
        <v/>
      </c>
      <c r="H5" s="3" t="n">
        <v>0</v>
      </c>
    </row>
    <row r="6">
      <c r="A6" s="3" t="inlineStr">
        <is>
          <t>Canadian Utility Trust Units</t>
        </is>
      </c>
      <c r="B6" s="3" t="inlineStr">
        <is>
          <t>CAD</t>
        </is>
      </c>
      <c r="C6" s="5" t="n">
        <v>28560</v>
      </c>
      <c r="D6" s="5" t="n">
        <v>9840</v>
      </c>
      <c r="E6" s="5" t="n">
        <v>0</v>
      </c>
      <c r="F6" s="5" t="n">
        <v>0</v>
      </c>
      <c r="G6" s="10">
        <f>SUM(C6:F6)</f>
        <v/>
      </c>
      <c r="H6" s="9" t="n">
        <v>3</v>
      </c>
    </row>
    <row r="7">
      <c r="A7" s="3" t="inlineStr">
        <is>
          <t>Cascade Resources Ltd</t>
        </is>
      </c>
      <c r="B7" s="3" t="inlineStr">
        <is>
          <t>CAD</t>
        </is>
      </c>
      <c r="C7" s="5" t="n">
        <v>0</v>
      </c>
      <c r="D7" s="5" t="n">
        <v>0</v>
      </c>
      <c r="E7" s="5" t="n">
        <v>0</v>
      </c>
      <c r="F7" s="5" t="n">
        <v>0</v>
      </c>
      <c r="G7" s="10">
        <f>SUM(C7:F7)</f>
        <v/>
      </c>
      <c r="H7" s="9" t="n">
        <v>1</v>
      </c>
    </row>
    <row r="8">
      <c r="A8" s="3" t="inlineStr">
        <is>
          <t>Fairview Semiconductor Inc (USD)</t>
        </is>
      </c>
      <c r="B8" s="3" t="inlineStr">
        <is>
          <t>USD</t>
        </is>
      </c>
      <c r="C8" s="5" t="n">
        <v>14100</v>
      </c>
      <c r="D8" s="5" t="n">
        <v>0</v>
      </c>
      <c r="E8" s="5" t="n">
        <v>0</v>
      </c>
      <c r="F8" s="5" t="n">
        <v>0</v>
      </c>
      <c r="G8" s="10">
        <f>SUM(C8:F8)</f>
        <v/>
      </c>
      <c r="H8" s="9" t="n">
        <v>1</v>
      </c>
    </row>
    <row r="9">
      <c r="A9" s="3" t="inlineStr">
        <is>
          <t>Halcyon Global Income Fund</t>
        </is>
      </c>
      <c r="B9" s="3" t="inlineStr">
        <is>
          <t>CAD</t>
        </is>
      </c>
      <c r="C9" s="5" t="n">
        <v>0</v>
      </c>
      <c r="D9" s="5" t="n">
        <v>0</v>
      </c>
      <c r="E9" s="5" t="n">
        <v>0</v>
      </c>
      <c r="F9" s="5" t="n">
        <v>0</v>
      </c>
      <c r="G9" s="10">
        <f>SUM(C9:F9)</f>
        <v/>
      </c>
      <c r="H9" s="9" t="n">
        <v>2</v>
      </c>
    </row>
    <row r="10">
      <c r="A10" s="3" t="inlineStr">
        <is>
          <t>Meridian Bank Common</t>
        </is>
      </c>
      <c r="B10" s="3" t="inlineStr">
        <is>
          <t>CAD</t>
        </is>
      </c>
      <c r="C10" s="5" t="n">
        <v>74375</v>
      </c>
      <c r="D10" s="5" t="n">
        <v>8925</v>
      </c>
      <c r="E10" s="5" t="n">
        <v>0</v>
      </c>
      <c r="F10" s="5" t="n">
        <v>0</v>
      </c>
      <c r="G10" s="10">
        <f>SUM(C10:F10)</f>
        <v/>
      </c>
      <c r="H10" s="3" t="n">
        <v>0</v>
      </c>
    </row>
    <row r="11">
      <c r="A11" s="3" t="inlineStr">
        <is>
          <t>Northbridge Energy Corp</t>
        </is>
      </c>
      <c r="B11" s="3" t="inlineStr">
        <is>
          <t>CAD</t>
        </is>
      </c>
      <c r="C11" s="5" t="n">
        <v>21400</v>
      </c>
      <c r="D11" s="5" t="n">
        <v>0</v>
      </c>
      <c r="E11" s="5" t="n">
        <v>-7215</v>
      </c>
      <c r="F11" s="5" t="n">
        <v>0</v>
      </c>
      <c r="G11" s="10">
        <f>SUM(C11:F11)</f>
        <v/>
      </c>
      <c r="H11" s="9" t="n">
        <v>1</v>
      </c>
    </row>
    <row r="12">
      <c r="A12" s="3" t="inlineStr">
        <is>
          <t>Ridgeline Industrial Inc</t>
        </is>
      </c>
      <c r="B12" s="3" t="inlineStr">
        <is>
          <t>CAD</t>
        </is>
      </c>
      <c r="C12" s="5" t="n">
        <v>9012.5</v>
      </c>
      <c r="D12" s="5" t="n">
        <v>0</v>
      </c>
      <c r="E12" s="5" t="n">
        <v>-5480</v>
      </c>
      <c r="F12" s="5" t="n">
        <v>0</v>
      </c>
      <c r="G12" s="10">
        <f>SUM(C12:F12)</f>
        <v/>
      </c>
      <c r="H12" s="9" t="n">
        <v>1</v>
      </c>
    </row>
    <row r="13">
      <c r="A13" s="11" t="inlineStr">
        <is>
          <t>Total</t>
        </is>
      </c>
      <c r="C13" s="12">
        <f>SUM(C5:C12)</f>
        <v/>
      </c>
      <c r="D13" s="12">
        <f>SUM(D5:D12)</f>
        <v/>
      </c>
      <c r="E13" s="12">
        <f>SUM(E5:E12)</f>
        <v/>
      </c>
      <c r="F13" s="12">
        <f>SUM(F5:F12)</f>
        <v/>
      </c>
      <c r="G13" s="12">
        <f>SUM(G5:G12)</f>
        <v/>
      </c>
    </row>
  </sheetData>
  <printOptions horizontalCentered="1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  <col width="14" customWidth="1" min="4" max="4"/>
    <col width="16" customWidth="1" min="5" max="5"/>
    <col width="34" customWidth="1" min="6" max="6"/>
  </cols>
  <sheetData>
    <row r="1">
      <c r="A1" s="1" t="inlineStr">
        <is>
          <t>Reconciliation to slips</t>
        </is>
      </c>
    </row>
    <row r="2">
      <c r="A2" s="6" t="inlineStr">
        <is>
          <t>A variance is stated, never absorbed. Amounts on flagged transactions are excluded from 'per statements'.</t>
        </is>
      </c>
    </row>
    <row r="4">
      <c r="A4" s="4" t="inlineStr">
        <is>
          <t>Item</t>
        </is>
      </c>
      <c r="B4" s="4" t="inlineStr">
        <is>
          <t>Per statements</t>
        </is>
      </c>
      <c r="C4" s="4" t="inlineStr">
        <is>
          <t>Per slip</t>
        </is>
      </c>
      <c r="D4" s="4" t="inlineStr">
        <is>
          <t>Variance</t>
        </is>
      </c>
      <c r="E4" s="4" t="inlineStr">
        <is>
          <t>Source</t>
        </is>
      </c>
      <c r="F4" s="4" t="inlineStr">
        <is>
          <t>Status</t>
        </is>
      </c>
    </row>
    <row r="5">
      <c r="A5" s="3" t="inlineStr">
        <is>
          <t>Eligible dividends</t>
        </is>
      </c>
      <c r="B5" s="5" t="n">
        <v>3427.5</v>
      </c>
      <c r="C5" s="5" t="n">
        <v>3427.5</v>
      </c>
      <c r="D5" s="10">
        <f>B5-C5</f>
        <v/>
      </c>
      <c r="E5" s="3" t="inlineStr">
        <is>
          <t>T5 box 24</t>
        </is>
      </c>
      <c r="F5" s="8" t="inlineStr">
        <is>
          <t>Ties</t>
        </is>
      </c>
    </row>
    <row r="6">
      <c r="A6" s="3" t="inlineStr">
        <is>
          <t>Interest</t>
        </is>
      </c>
      <c r="B6" s="5" t="n">
        <v>320.75</v>
      </c>
      <c r="C6" s="5" t="n">
        <v>327.15</v>
      </c>
      <c r="D6" s="10">
        <f>B6-C6</f>
        <v/>
      </c>
      <c r="E6" s="3" t="inlineStr">
        <is>
          <t>T5 box 13</t>
        </is>
      </c>
      <c r="F6" s="9" t="inlineStr">
        <is>
          <t>VARIANCE -6.40 - investigate</t>
        </is>
      </c>
    </row>
    <row r="7">
      <c r="A7" s="3" t="inlineStr">
        <is>
          <t>Trust distributions</t>
        </is>
      </c>
      <c r="B7" s="5" t="n">
        <v>0</v>
      </c>
      <c r="C7" s="5" t="n">
        <v>1612</v>
      </c>
      <c r="D7" s="10">
        <f>B7-C7</f>
        <v/>
      </c>
      <c r="E7" s="3" t="inlineStr">
        <is>
          <t>T3 total</t>
        </is>
      </c>
      <c r="F7" s="9" t="inlineStr">
        <is>
          <t>VARIANCE -1,612.00 - investigate</t>
        </is>
      </c>
    </row>
  </sheetData>
  <printOptions horizontalCentered="1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28" customWidth="1" min="4" max="4"/>
    <col width="40" customWidth="1" min="5" max="5"/>
    <col width="13" customWidth="1" min="6" max="6"/>
    <col width="17" customWidth="1" min="7" max="7"/>
    <col width="8" customWidth="1" min="8" max="8"/>
    <col width="34" customWidth="1" min="9" max="9"/>
    <col width="42" customWidth="1" min="10" max="10"/>
  </cols>
  <sheetData>
    <row r="1">
      <c r="A1" s="1" t="inlineStr">
        <is>
          <t>Exceptions - resolve before the schedule is signed</t>
        </is>
      </c>
    </row>
    <row r="2">
      <c r="A2" s="6" t="inlineStr">
        <is>
          <t>Every transaction below is excluded from the totals until a preparer resolves it. A transaction reaches this tab if confidence is below the floor OR it matches a known-complex pattern - the second test is a rule, not a model decision.</t>
        </is>
      </c>
    </row>
    <row r="4">
      <c r="A4" s="4" t="inlineStr">
        <is>
          <t>Txn ID</t>
        </is>
      </c>
      <c r="B4" s="4" t="inlineStr">
        <is>
          <t>Date</t>
        </is>
      </c>
      <c r="C4" s="4" t="inlineStr">
        <is>
          <t>Src page</t>
        </is>
      </c>
      <c r="D4" s="4" t="inlineStr">
        <is>
          <t>Security</t>
        </is>
      </c>
      <c r="E4" s="4" t="inlineStr">
        <is>
          <t>Description as printed</t>
        </is>
      </c>
      <c r="F4" s="4" t="inlineStr">
        <is>
          <t>Amount</t>
        </is>
      </c>
      <c r="G4" s="4" t="inlineStr">
        <is>
          <t>Model's read</t>
        </is>
      </c>
      <c r="H4" s="4" t="inlineStr">
        <is>
          <t>Conf.</t>
        </is>
      </c>
      <c r="I4" s="4" t="inlineStr">
        <is>
          <t>Why it is here</t>
        </is>
      </c>
      <c r="J4" s="4" t="inlineStr">
        <is>
          <t>What the preparer must determine</t>
        </is>
      </c>
    </row>
    <row r="5">
      <c r="A5" s="13" t="inlineStr">
        <is>
          <t>T004</t>
        </is>
      </c>
      <c r="B5" s="13" t="inlineStr">
        <is>
          <t>2025-02-12</t>
        </is>
      </c>
      <c r="C5" s="13" t="n">
        <v>2</v>
      </c>
      <c r="D5" s="13" t="inlineStr">
        <is>
          <t>Canadian Utility Trust Units</t>
        </is>
      </c>
      <c r="E5" s="14" t="inlineStr">
        <is>
          <t>RET OF CAP DIST</t>
        </is>
      </c>
      <c r="F5" s="15" t="n">
        <v>288</v>
      </c>
      <c r="G5" s="13" t="inlineStr">
        <is>
          <t>return_of_capital</t>
        </is>
      </c>
      <c r="H5" s="16" t="n">
        <v>0.95</v>
      </c>
      <c r="I5" s="17" t="inlineStr">
        <is>
          <t>Return of capital</t>
        </is>
      </c>
      <c r="J5" s="17" t="inlineStr">
        <is>
          <t>Confirm ROC per the trust's tax information; reduce ACB, do not report as income.</t>
        </is>
      </c>
    </row>
    <row r="6">
      <c r="A6" s="13" t="inlineStr">
        <is>
          <t>T008</t>
        </is>
      </c>
      <c r="B6" s="13" t="inlineStr">
        <is>
          <t>2025-03-18</t>
        </is>
      </c>
      <c r="C6" s="13" t="n">
        <v>3</v>
      </c>
      <c r="D6" s="13" t="inlineStr">
        <is>
          <t>Halcyon Global Income Fund</t>
        </is>
      </c>
      <c r="E6" s="14" t="inlineStr">
        <is>
          <t>DIV REINVEST - 14 SH</t>
        </is>
      </c>
      <c r="F6" s="15" t="n">
        <v>462</v>
      </c>
      <c r="G6" s="13" t="inlineStr">
        <is>
          <t>dividend</t>
        </is>
      </c>
      <c r="H6" s="16" t="n">
        <v>0.9</v>
      </c>
      <c r="I6" s="17" t="inlineStr">
        <is>
          <t>Distribution paid in shares</t>
        </is>
      </c>
      <c r="J6" s="17" t="inlineStr">
        <is>
          <t>Split into income and a new parcel; set that parcel's cost base at this date.</t>
        </is>
      </c>
    </row>
    <row r="7">
      <c r="A7" s="13" t="inlineStr">
        <is>
          <t>T012</t>
        </is>
      </c>
      <c r="B7" s="13" t="inlineStr">
        <is>
          <t>2025-05-14</t>
        </is>
      </c>
      <c r="C7" s="13" t="n">
        <v>5</v>
      </c>
      <c r="D7" s="13" t="inlineStr">
        <is>
          <t>Canadian Utility Trust Units</t>
        </is>
      </c>
      <c r="E7" s="14" t="inlineStr">
        <is>
          <t>ROC</t>
        </is>
      </c>
      <c r="F7" s="15" t="n">
        <v>288</v>
      </c>
      <c r="G7" s="13" t="inlineStr">
        <is>
          <t>return_of_capital</t>
        </is>
      </c>
      <c r="H7" s="16" t="n">
        <v>0.95</v>
      </c>
      <c r="I7" s="17" t="inlineStr">
        <is>
          <t>Return of capital</t>
        </is>
      </c>
      <c r="J7" s="17" t="inlineStr">
        <is>
          <t>Confirm ROC per the trust's tax information; reduce ACB, do not report as income.</t>
        </is>
      </c>
    </row>
    <row r="8">
      <c r="A8" s="13" t="inlineStr">
        <is>
          <t>T015</t>
        </is>
      </c>
      <c r="B8" s="13" t="inlineStr">
        <is>
          <t>2025-06-11</t>
        </is>
      </c>
      <c r="C8" s="13" t="n">
        <v>6</v>
      </c>
      <c r="D8" s="13" t="inlineStr">
        <is>
          <t>Northbridge Energy Corp</t>
        </is>
      </c>
      <c r="E8" s="14" t="inlineStr">
        <is>
          <t>PLAN OF ARRANGEMENT - EXCHANGED FOR CASCADE RESOURCES 0.75:1</t>
        </is>
      </c>
      <c r="F8" s="15" t="n">
        <v>0</v>
      </c>
      <c r="G8" s="13" t="inlineStr">
        <is>
          <t>transfer</t>
        </is>
      </c>
      <c r="H8" s="16" t="n">
        <v>0.6</v>
      </c>
      <c r="I8" s="17" t="inlineStr">
        <is>
          <t>Confidence 0.60 below the 0.80 floor; Merger / reorganisation</t>
        </is>
      </c>
      <c r="J8" s="17" t="inlineStr">
        <is>
          <t>Confirm continuity of the holding and the cost base carried across; not a disposal.</t>
        </is>
      </c>
    </row>
    <row r="9">
      <c r="A9" s="13" t="inlineStr">
        <is>
          <t>T016</t>
        </is>
      </c>
      <c r="B9" s="13" t="inlineStr">
        <is>
          <t>2025-06-11</t>
        </is>
      </c>
      <c r="C9" s="13" t="n">
        <v>6</v>
      </c>
      <c r="D9" s="13" t="inlineStr">
        <is>
          <t>Cascade Resources Ltd</t>
        </is>
      </c>
      <c r="E9" s="14" t="inlineStr">
        <is>
          <t>PLAN OF ARRANGEMENT - RECEIVED</t>
        </is>
      </c>
      <c r="F9" s="15" t="n">
        <v>0</v>
      </c>
      <c r="G9" s="13" t="inlineStr">
        <is>
          <t>transfer</t>
        </is>
      </c>
      <c r="H9" s="16" t="n">
        <v>0.6</v>
      </c>
      <c r="I9" s="17" t="inlineStr">
        <is>
          <t>Confidence 0.60 below the 0.80 floor; Merger / reorganisation</t>
        </is>
      </c>
      <c r="J9" s="17" t="inlineStr">
        <is>
          <t>Confirm continuity of the holding and the cost base carried across; not a disposal.</t>
        </is>
      </c>
    </row>
    <row r="10">
      <c r="A10" s="13" t="inlineStr">
        <is>
          <t>T018</t>
        </is>
      </c>
      <c r="B10" s="13" t="inlineStr">
        <is>
          <t>2025-07-08</t>
        </is>
      </c>
      <c r="C10" s="13" t="n">
        <v>7</v>
      </c>
      <c r="D10" s="13" t="inlineStr">
        <is>
          <t>Fairview Semiconductor Inc (USD)</t>
        </is>
      </c>
      <c r="E10" s="14" t="inlineStr">
        <is>
          <t>SELL - USD ACCT</t>
        </is>
      </c>
      <c r="F10" s="15" t="n">
        <v>9840</v>
      </c>
      <c r="G10" s="13" t="inlineStr">
        <is>
          <t>sell</t>
        </is>
      </c>
      <c r="H10" s="16" t="n">
        <v>0.96</v>
      </c>
      <c r="I10" s="17" t="inlineStr">
        <is>
          <t>USD holding - cost base held in original currency at original date</t>
        </is>
      </c>
      <c r="J10" s="17" t="inlineStr">
        <is>
          <t>Hold the cost base in the original currency at the original acquisition date.</t>
        </is>
      </c>
    </row>
    <row r="11">
      <c r="A11" s="13" t="inlineStr">
        <is>
          <t>T020</t>
        </is>
      </c>
      <c r="B11" s="13" t="inlineStr">
        <is>
          <t>2025-08-15</t>
        </is>
      </c>
      <c r="C11" s="13" t="n">
        <v>8</v>
      </c>
      <c r="D11" s="13" t="inlineStr">
        <is>
          <t>Halcyon Global Income Fund</t>
        </is>
      </c>
      <c r="E11" s="14" t="inlineStr">
        <is>
          <t>CASH DIST - SEE T3</t>
        </is>
      </c>
      <c r="F11" s="15" t="n">
        <v>1150</v>
      </c>
      <c r="G11" s="13" t="inlineStr">
        <is>
          <t>dividend</t>
        </is>
      </c>
      <c r="H11" s="16" t="n">
        <v>0.45</v>
      </c>
      <c r="I11" s="17" t="inlineStr">
        <is>
          <t>Character not determinable from the statement; Confidence 0.45 below the 0.80 floor</t>
        </is>
      </c>
      <c r="J11" s="17" t="inlineStr">
        <is>
          <t>Take the character from the slip once received.</t>
        </is>
      </c>
    </row>
    <row r="12">
      <c r="A12" s="13" t="inlineStr">
        <is>
          <t>T025</t>
        </is>
      </c>
      <c r="B12" s="13" t="inlineStr">
        <is>
          <t>2025-10-24</t>
        </is>
      </c>
      <c r="C12" s="13" t="n">
        <v>10</v>
      </c>
      <c r="D12" s="13" t="inlineStr">
        <is>
          <t>Ridgeline Industrial Inc</t>
        </is>
      </c>
      <c r="E12" s="14" t="inlineStr">
        <is>
          <t>DELIVERY OUT - IN KIND - 150 SH TO SHAREHOLDER ACCT</t>
        </is>
      </c>
      <c r="F12" s="15" t="n">
        <v>0</v>
      </c>
      <c r="G12" s="13" t="inlineStr">
        <is>
          <t>withdrawal</t>
        </is>
      </c>
      <c r="H12" s="16" t="n">
        <v>0.7</v>
      </c>
      <c r="I12" s="17" t="inlineStr">
        <is>
          <t>Confidence 0.70 below the 0.80 floor; In-kind movement of securities; Shareholder draw / benefit</t>
        </is>
      </c>
      <c r="J12" s="17" t="inlineStr">
        <is>
          <t>Determine deemed proceeds and whether a shareholder benefit arises.</t>
        </is>
      </c>
    </row>
    <row r="13">
      <c r="A13" s="13" t="inlineStr">
        <is>
          <t>T026</t>
        </is>
      </c>
      <c r="B13" s="13" t="inlineStr">
        <is>
          <t>2025-11-07</t>
        </is>
      </c>
      <c r="C13" s="13" t="n">
        <v>11</v>
      </c>
      <c r="D13" s="13" t="inlineStr">
        <is>
          <t>Cash Balance</t>
        </is>
      </c>
      <c r="E13" s="14" t="inlineStr">
        <is>
          <t>FUNDS TRANSFER OUT SHAREHOLDER</t>
        </is>
      </c>
      <c r="F13" s="15" t="n">
        <v>-25000</v>
      </c>
      <c r="G13" s="13" t="inlineStr">
        <is>
          <t>withdrawal</t>
        </is>
      </c>
      <c r="H13" s="16" t="n">
        <v>0.7</v>
      </c>
      <c r="I13" s="17" t="inlineStr">
        <is>
          <t>Confidence 0.70 below the 0.80 floor; Shareholder draw / benefit</t>
        </is>
      </c>
      <c r="J13" s="17" t="inlineStr">
        <is>
          <t>Post to shareholder account, not portfolio activity.</t>
        </is>
      </c>
    </row>
    <row r="14">
      <c r="A14" s="13" t="inlineStr">
        <is>
          <t>T027</t>
        </is>
      </c>
      <c r="B14" s="13" t="inlineStr">
        <is>
          <t>2025-11-28</t>
        </is>
      </c>
      <c r="C14" s="13" t="n">
        <v>11</v>
      </c>
      <c r="D14" s="13" t="inlineStr">
        <is>
          <t>Canadian Utility Trust Units</t>
        </is>
      </c>
      <c r="E14" s="14" t="inlineStr">
        <is>
          <t>RETURN OF CAPITAL - NON- TAXABLE DIST</t>
        </is>
      </c>
      <c r="F14" s="15" t="n">
        <v>288</v>
      </c>
      <c r="G14" s="13" t="inlineStr">
        <is>
          <t>return_of_capital</t>
        </is>
      </c>
      <c r="H14" s="16" t="n">
        <v>0.95</v>
      </c>
      <c r="I14" s="17" t="inlineStr">
        <is>
          <t>Return of capital</t>
        </is>
      </c>
      <c r="J14" s="17" t="inlineStr">
        <is>
          <t>Confirm ROC per the trust's tax information; reduce ACB, do not report as income.</t>
        </is>
      </c>
    </row>
  </sheetData>
  <printOptions horizontalCentered="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2026-08-01T01:36:27Z</dcterms:created>
  <dcterms:modified xmlns:dcterms="http://purl.org/dc/terms/" xmlns:xsi="http://www.w3.org/2001/XMLSchema-instance" xsi:type="dcterms:W3CDTF">2026-08-01T01:36:27Z</dcterms:modified>
</cp:coreProperties>
</file>